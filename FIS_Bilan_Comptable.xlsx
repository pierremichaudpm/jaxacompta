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Sommaire comptable" sheetId="2" r:id="rId6"/>
    <sheet state="visible" name="Par catégorie" sheetId="3" r:id="rId7"/>
  </sheets>
  <definedNames>
    <definedName hidden="1" localSheetId="0" name="_xlnm._FilterDatabase">Transactions!$A$5:$M$24</definedName>
  </definedNames>
  <calcPr/>
</workbook>
</file>

<file path=xl/sharedStrings.xml><?xml version="1.0" encoding="utf-8"?>
<sst xmlns="http://schemas.openxmlformats.org/spreadsheetml/2006/main" count="181" uniqueCount="104">
  <si>
    <t>LA FISSURE — Bilan des dépenses et revenus</t>
  </si>
  <si>
    <t>JAXA Production Inc. · Compte 2-21 La Fissure · Phase Concept</t>
  </si>
  <si>
    <t>Document généré le 2026-05-27 — destiné au comptable</t>
  </si>
  <si>
    <t>Date</t>
  </si>
  <si>
    <t>N° pièce</t>
  </si>
  <si>
    <t>Type</t>
  </si>
  <si>
    <t>Description</t>
  </si>
  <si>
    <t>Catégorie</t>
  </si>
  <si>
    <t>Fournisseur / Client</t>
  </si>
  <si>
    <t>Compte bancaire</t>
  </si>
  <si>
    <t>Revenus HT</t>
  </si>
  <si>
    <t>Dépenses HT</t>
  </si>
  <si>
    <t>TPS (5 %)</t>
  </si>
  <si>
    <t>TVQ (9,975 %)</t>
  </si>
  <si>
    <t>Total TTC</t>
  </si>
  <si>
    <t>Mode de paiement</t>
  </si>
  <si>
    <t>dépense</t>
  </si>
  <si>
    <t>05-010 Remboursement Surplus - Transfert versCpte 20</t>
  </si>
  <si>
    <t>Compte 2-21 La Fissure</t>
  </si>
  <si>
    <t>Dépôt direct</t>
  </si>
  <si>
    <t>revenu</t>
  </si>
  <si>
    <t>05-06 Remboursement Part Productrice - Transfert du Cpte 20</t>
  </si>
  <si>
    <t>JAXA - Cpte PROD 20</t>
  </si>
  <si>
    <t>05-07</t>
  </si>
  <si>
    <t>05-07 Fabio Pellegrino — Storyboard - Conceptualisation pour le projet La Fissure</t>
  </si>
  <si>
    <t>Services professionnels</t>
  </si>
  <si>
    <t>Fabio Pellegrino</t>
  </si>
  <si>
    <t>05-06</t>
  </si>
  <si>
    <t>05-06 Facture FIS-ServicePro_Invest_FIS-052926 — JAXA - Production La Fissure</t>
  </si>
  <si>
    <t>JAXA - Production La Fissure</t>
  </si>
  <si>
    <t>Virement Interac</t>
  </si>
  <si>
    <t>05-03</t>
  </si>
  <si>
    <t>05-03 Couleur Point TV Inc. — Services de conceptualisation et direction artistique - LAFISSURE</t>
  </si>
  <si>
    <t>Couleur.tv</t>
  </si>
  <si>
    <t>05-05</t>
  </si>
  <si>
    <t>05-05 Axelle Michaud — Coordination de projet - La Fissure</t>
  </si>
  <si>
    <t>Axelle Michaud</t>
  </si>
  <si>
    <t>04-04</t>
  </si>
  <si>
    <t>04-04 Frais bancaires — Compte 2-21 La Fissure</t>
  </si>
  <si>
    <t>Frais bancaires</t>
  </si>
  <si>
    <t>Débit</t>
  </si>
  <si>
    <t>03-01</t>
  </si>
  <si>
    <t>03-01 Frais bancaires — Compte 2-21 La Fissure - FRAIS Forfait</t>
  </si>
  <si>
    <t>02-02</t>
  </si>
  <si>
    <t>02-02 Frais bancaires — Compte 2-21 La Fissure</t>
  </si>
  <si>
    <t>02-01</t>
  </si>
  <si>
    <t>02-01_F-Roque - Poste 10.15_Projet Fissure</t>
  </si>
  <si>
    <t>Felix Rocque</t>
  </si>
  <si>
    <t>01-01</t>
  </si>
  <si>
    <t>01-01 Frais bancaires — Compte 2-21 La Fissure</t>
  </si>
  <si>
    <t>12-01</t>
  </si>
  <si>
    <t>12-01 Frais bancaires — Compte 2-21 La Fissure</t>
  </si>
  <si>
    <t>11-02</t>
  </si>
  <si>
    <t>11-02 Frais bancaires — Compte 2-21 La Fissure - FRAIS FORFAIT</t>
  </si>
  <si>
    <t>JAXA - Cpte PROD 21</t>
  </si>
  <si>
    <t>11-01</t>
  </si>
  <si>
    <t>11-01 CPTE DEBITEUR - CANADA MEDIA FOUND // 11-01-FIS_Contrat_FMC</t>
  </si>
  <si>
    <t>Revenu client</t>
  </si>
  <si>
    <t>Fonds Media du Canada - FMC</t>
  </si>
  <si>
    <t>10-03</t>
  </si>
  <si>
    <t>10-03 Frais bancaires — Compte 2-21 La Fissure</t>
  </si>
  <si>
    <t>10-01 Prêt - Transfert du Cpte 20</t>
  </si>
  <si>
    <t>09-02</t>
  </si>
  <si>
    <t>09-02 Frais bancaires — Compte 2-21 La Fissure</t>
  </si>
  <si>
    <t>09-01 Frais bancaires — Compte 2-21 La Fissure</t>
  </si>
  <si>
    <t>SOUS-TOTAL DÉPENSES</t>
  </si>
  <si>
    <t>SOUS-TOTAL REVENUS</t>
  </si>
  <si>
    <t>SOLDE NET (Revenus − Dépenses)</t>
  </si>
  <si>
    <t>Sommaire comptable — La Fissure</t>
  </si>
  <si>
    <t>Période couverte : voir feuille Transactions · Compte 2-21 La Fissure</t>
  </si>
  <si>
    <t>1. Résultats — Hors taxes</t>
  </si>
  <si>
    <t>Total des revenus (HT)</t>
  </si>
  <si>
    <t>Subventions et autres entrées avant taxes</t>
  </si>
  <si>
    <t>Total des dépenses (HT)</t>
  </si>
  <si>
    <t>Achats et services avant taxes</t>
  </si>
  <si>
    <t>SOLDE NET (HT)</t>
  </si>
  <si>
    <t>Revenus HT − Dépenses HT</t>
  </si>
  <si>
    <t>2. Taxes — Crédits récupérables</t>
  </si>
  <si>
    <t>TPS payée sur dépenses (CTI — crédit fédéral)</t>
  </si>
  <si>
    <t>À récupérer auprès de l’ARC</t>
  </si>
  <si>
    <t>TVQ payée sur dépenses (RTI — crédit provincial)</t>
  </si>
  <si>
    <t>À récupérer auprès de Revenu Québec</t>
  </si>
  <si>
    <t>Total des crédits de taxes à récupérer</t>
  </si>
  <si>
    <t>3. Taxes — Perçues sur revenus</t>
  </si>
  <si>
    <t>TPS perçue sur revenus</t>
  </si>
  <si>
    <t>À remettre à l’ARC (le cas échéant)</t>
  </si>
  <si>
    <t>TVQ perçue sur revenus</t>
  </si>
  <si>
    <t>À remettre à Revenu Québec (le cas échéant)</t>
  </si>
  <si>
    <t>4. Position nette de taxes</t>
  </si>
  <si>
    <t>TPS nette (perçue − payée)</t>
  </si>
  <si>
    <t>Négatif = remboursement attendu de l’ARC</t>
  </si>
  <si>
    <t>TVQ nette (perçue − payée)</t>
  </si>
  <si>
    <t>Négatif = remboursement attendu de Revenu Québec</t>
  </si>
  <si>
    <t>5. Mouvements de trésorerie (TTC)</t>
  </si>
  <si>
    <t>Total des entrées (revenus TTC)</t>
  </si>
  <si>
    <t>Total des sorties (dépenses TTC)</t>
  </si>
  <si>
    <t>Variation nette de trésorerie</t>
  </si>
  <si>
    <t>Note : Tous les montants sont reliés par formules à la feuille « Transactions ». Toute modification dans la feuille Transactions met automatiquement à jour ce sommaire.</t>
  </si>
  <si>
    <t>Ventilation par catégorie comptable</t>
  </si>
  <si>
    <t>Pour faciliter les écritures dans le grand livre</t>
  </si>
  <si>
    <t>Montant HT</t>
  </si>
  <si>
    <t>TPS</t>
  </si>
  <si>
    <t>TVQ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</si>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</sst>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mm-dd"/>
    <numFmt numFmtId="166" formatCode="#,##0.00\ [$$-FCA];[RED]\(#,##0.00&quot;) &quot;[$$-FCA];\–"/>
  </numFmts>
  <fonts count="11">
    <font>
      <sz val="11.0"/>
      <color theme="1"/>
      <name val="Calibri"/>
      <scheme val="minor"/>
    </font>
    <font>
      <b/>
      <sz val="14.0"/>
      <color rgb="FFB0413E"/>
      <name val="Arial"/>
    </font>
    <font>
      <i/>
      <sz val="10.0"/>
      <color rgb="FF2C2C2C"/>
      <name val="Arial"/>
    </font>
    <font>
      <i/>
      <sz val="9.0"/>
      <color rgb="FF808080"/>
      <name val="Arial"/>
    </font>
    <font>
      <b/>
      <sz val="10.0"/>
      <color rgb="FFFFFFFF"/>
      <name val="Arial"/>
    </font>
    <font>
      <sz val="10.0"/>
      <color rgb="FF2C2C2C"/>
      <name val="Arial"/>
    </font>
    <font/>
    <font>
      <b/>
      <sz val="10.0"/>
      <color rgb="FF2C2C2C"/>
      <name val="Arial"/>
    </font>
    <font>
      <b/>
      <sz val="11.0"/>
      <color rgb="FFFFFFFF"/>
      <name val="Arial"/>
    </font>
    <font>
      <b/>
      <sz val="11.0"/>
      <color rgb="FFB0413E"/>
      <name val="Arial"/>
    </font>
    <font>
      <b/>
      <sz val="10.0"/>
      <color rgb="FFB0413E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C2C2C"/>
        <bgColor rgb="FF2C2C2C"/>
      </patternFill>
    </fill>
    <fill>
      <patternFill patternType="solid">
        <fgColor rgb="FF8B2A3F"/>
        <bgColor rgb="FF8B2A3F"/>
      </patternFill>
    </fill>
    <fill>
      <patternFill patternType="solid">
        <fgColor rgb="FFEFEFEF"/>
        <bgColor rgb="FFEFEFEF"/>
      </patternFill>
    </fill>
    <fill>
      <patternFill patternType="solid">
        <fgColor rgb="FF2D6A2D"/>
        <bgColor rgb="FF2D6A2D"/>
      </patternFill>
    </fill>
    <fill>
      <patternFill patternType="solid">
        <fgColor rgb="FFB0413E"/>
        <bgColor rgb="FFB0413E"/>
      </patternFill>
    </fill>
    <fill>
      <patternFill patternType="solid">
        <fgColor rgb="FFFFF5F7"/>
        <bgColor rgb="FFFFF5F7"/>
      </patternFill>
    </fill>
    <fill>
      <patternFill patternType="solid">
        <fgColor rgb="FF6B6B6B"/>
        <bgColor rgb="FF6B6B6B"/>
      </patternFill>
    </fill>
    <fill>
      <patternFill patternType="solid">
        <fgColor rgb="FFFCE9EC"/>
        <bgColor rgb="FFFCE9EC"/>
      </patternFill>
    </fill>
    <fill>
      <patternFill patternType="solid">
        <fgColor rgb="FFE8F3E8"/>
        <bgColor rgb="FFE8F3E8"/>
      </patternFill>
    </fill>
  </fills>
  <borders count="13">
    <border/>
    <border>
      <left style="thin">
        <color rgb="FFBFBFBF"/>
      </left>
      <right style="thin">
        <color rgb="FFBFBFBF"/>
      </right>
      <top style="medium">
        <color rgb="FF2C2C2C"/>
      </top>
      <bottom style="medium">
        <color rgb="FF2C2C2C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 style="medium">
        <color rgb="FF2C2C2C"/>
      </top>
      <bottom style="medium">
        <color rgb="FF2C2C2C"/>
      </bottom>
    </border>
    <border>
      <top style="medium">
        <color rgb="FF2C2C2C"/>
      </top>
      <bottom style="medium">
        <color rgb="FF2C2C2C"/>
      </bottom>
    </border>
    <border>
      <right style="thin">
        <color rgb="FFBFBFBF"/>
      </right>
      <top style="medium">
        <color rgb="FF2C2C2C"/>
      </top>
      <bottom style="medium">
        <color rgb="FF2C2C2C"/>
      </bottom>
    </border>
    <border>
      <right/>
      <top style="medium">
        <color rgb="FF2C2C2C"/>
      </top>
      <bottom style="medium">
        <color rgb="FF2C2C2C"/>
      </bottom>
    </border>
    <border>
      <left/>
      <right/>
      <top style="medium">
        <color rgb="FF2C2C2C"/>
      </top>
      <bottom style="medium">
        <color rgb="FF2C2C2C"/>
      </bottom>
    </border>
    <border>
      <left/>
      <top/>
      <bottom/>
    </border>
    <border>
      <top/>
      <bottom/>
    </border>
    <border>
      <right/>
      <top/>
      <bottom/>
    </border>
    <border>
      <bottom style="thin">
        <color rgb="FFBFBFBF"/>
      </bottom>
    </border>
    <border>
      <left/>
      <right/>
      <top/>
      <bottom style="thin">
        <color rgb="FFBFBFB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164" xfId="0" applyAlignment="1" applyBorder="1" applyFont="1" applyNumberFormat="1">
      <alignment horizontal="center" readingOrder="0" shrinkToFit="0" vertical="center" wrapText="0"/>
    </xf>
    <xf borderId="2" fillId="0" fontId="5" numFmtId="165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2" fillId="0" fontId="5" numFmtId="166" xfId="0" applyAlignment="1" applyBorder="1" applyFont="1" applyNumberFormat="1">
      <alignment horizontal="right" readingOrder="0" shrinkToFit="0" vertical="center" wrapText="0"/>
    </xf>
    <xf borderId="2" fillId="0" fontId="5" numFmtId="166" xfId="0" applyAlignment="1" applyBorder="1" applyFont="1" applyNumberFormat="1">
      <alignment horizontal="right" shrinkToFit="0" vertical="center" wrapText="0"/>
    </xf>
    <xf borderId="2" fillId="0" fontId="5" numFmtId="164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ill="1" applyFont="1">
      <alignment horizontal="left" shrinkToFit="0" vertical="center" wrapText="0"/>
    </xf>
    <xf borderId="4" fillId="0" fontId="6" numFmtId="0" xfId="0" applyBorder="1" applyFont="1"/>
    <xf borderId="5" fillId="0" fontId="6" numFmtId="0" xfId="0" applyBorder="1" applyFont="1"/>
    <xf borderId="1" fillId="4" fontId="7" numFmtId="166" xfId="0" applyAlignment="1" applyBorder="1" applyFill="1" applyFont="1" applyNumberFormat="1">
      <alignment horizontal="right" shrinkToFit="0" vertical="center" wrapText="0"/>
    </xf>
    <xf borderId="1" fillId="4" fontId="7" numFmtId="0" xfId="0" applyAlignment="1" applyBorder="1" applyFont="1">
      <alignment horizontal="right" shrinkToFit="0" vertical="center" wrapText="0"/>
    </xf>
    <xf borderId="3" fillId="5" fontId="4" numFmtId="0" xfId="0" applyAlignment="1" applyBorder="1" applyFill="1" applyFont="1">
      <alignment horizontal="left" shrinkToFit="0" vertical="center" wrapText="0"/>
    </xf>
    <xf borderId="3" fillId="6" fontId="8" numFmtId="0" xfId="0" applyAlignment="1" applyBorder="1" applyFill="1" applyFont="1">
      <alignment horizontal="left" shrinkToFit="0" vertical="center" wrapText="0"/>
    </xf>
    <xf borderId="6" fillId="0" fontId="6" numFmtId="0" xfId="0" applyBorder="1" applyFont="1"/>
    <xf borderId="7" fillId="7" fontId="9" numFmtId="166" xfId="0" applyAlignment="1" applyBorder="1" applyFill="1" applyFont="1" applyNumberFormat="1">
      <alignment horizontal="right" shrinkToFit="0" vertical="center" wrapText="0"/>
    </xf>
    <xf borderId="7" fillId="7" fontId="9" numFmtId="0" xfId="0" applyAlignment="1" applyBorder="1" applyFont="1">
      <alignment horizontal="right" shrinkToFit="0" vertical="center" wrapText="0"/>
    </xf>
    <xf borderId="8" fillId="6" fontId="8" numFmtId="0" xfId="0" applyAlignment="1" applyBorder="1" applyFont="1">
      <alignment horizontal="left" shrinkToFit="0" vertical="center" wrapText="0"/>
    </xf>
    <xf borderId="9" fillId="0" fontId="6" numFmtId="0" xfId="0" applyBorder="1" applyFont="1"/>
    <xf borderId="10" fillId="0" fontId="6" numFmtId="0" xfId="0" applyBorder="1" applyFont="1"/>
    <xf borderId="0" fillId="0" fontId="5" numFmtId="0" xfId="0" applyAlignment="1" applyFont="1">
      <alignment horizontal="left" shrinkToFit="0" vertical="center" wrapText="0"/>
    </xf>
    <xf borderId="11" fillId="0" fontId="5" numFmtId="166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0"/>
    </xf>
    <xf borderId="12" fillId="7" fontId="10" numFmtId="166" xfId="0" applyAlignment="1" applyBorder="1" applyFont="1" applyNumberFormat="1">
      <alignment horizontal="right" shrinkToFit="0" vertical="center" wrapText="0"/>
    </xf>
    <xf borderId="11" fillId="0" fontId="7" numFmtId="166" xfId="0" applyAlignment="1" applyBorder="1" applyFont="1" applyNumberFormat="1">
      <alignment horizontal="right" shrinkToFit="0" vertical="center" wrapText="0"/>
    </xf>
    <xf borderId="8" fillId="8" fontId="8" numFmtId="0" xfId="0" applyAlignment="1" applyBorder="1" applyFill="1" applyFont="1">
      <alignment horizontal="left" shrinkToFit="0" vertical="center" wrapText="0"/>
    </xf>
    <xf borderId="0" fillId="0" fontId="3" numFmtId="0" xfId="0" applyAlignment="1" applyFont="1">
      <alignment horizontal="left" shrinkToFit="0" vertical="top" wrapText="1"/>
    </xf>
    <xf borderId="2" fillId="9" fontId="5" numFmtId="0" xfId="0" applyAlignment="1" applyBorder="1" applyFill="1" applyFont="1">
      <alignment horizontal="left" shrinkToFit="0" vertical="center" wrapText="0"/>
    </xf>
    <xf borderId="2" fillId="9" fontId="5" numFmtId="166" xfId="0" applyAlignment="1" applyBorder="1" applyFont="1" applyNumberFormat="1">
      <alignment horizontal="right" shrinkToFit="0" vertical="center" wrapText="0"/>
    </xf>
    <xf borderId="2" fillId="10" fontId="5" numFmtId="0" xfId="0" applyAlignment="1" applyBorder="1" applyFill="1" applyFont="1">
      <alignment horizontal="left" shrinkToFit="0" vertical="center" wrapText="0"/>
    </xf>
    <xf borderId="2" fillId="10" fontId="5" numFmtId="166" xfId="0" applyAlignment="1" applyBorder="1" applyFont="1" applyNumberFormat="1">
      <alignment horizontal="right" shrinkToFit="0" vertical="center" wrapText="0"/>
    </xf>
    <xf borderId="7" fillId="2" fontId="4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E8F3E8"/>
          <bgColor rgb="FFE8F3E8"/>
        </patternFill>
      </fill>
      <border/>
    </dxf>
    <dxf>
      <font/>
      <fill>
        <patternFill patternType="solid">
          <fgColor rgb="FFFCE9EC"/>
          <bgColor rgb="FFFCE9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10.0"/>
    <col customWidth="1" min="3" max="3" width="11.0"/>
    <col customWidth="1" min="4" max="4" width="52.0"/>
    <col customWidth="1" min="5" max="5" width="22.0"/>
    <col customWidth="1" min="6" max="6" width="26.0"/>
    <col customWidth="1" min="7" max="7" width="24.0"/>
    <col customWidth="1" min="8" max="9" width="13.0"/>
    <col customWidth="1" min="10" max="10" width="11.0"/>
    <col customWidth="1" min="11" max="11" width="13.0"/>
    <col customWidth="1" min="12" max="12" width="14.0"/>
    <col customWidth="1" min="13" max="13" width="17.0"/>
    <col customWidth="1" min="14" max="26" width="8.71"/>
  </cols>
  <sheetData>
    <row r="1" ht="24.0" customHeight="1">
      <c r="A1" s="1" t="s">
        <v>0</v>
      </c>
    </row>
    <row r="2">
      <c r="A2" s="2" t="s">
        <v>1</v>
      </c>
    </row>
    <row r="3">
      <c r="A3" s="3" t="s">
        <v>2</v>
      </c>
    </row>
    <row r="5" ht="31.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>
      <c r="A6" s="5">
        <v>46169.0</v>
      </c>
      <c r="B6" s="6">
        <v>46152.0</v>
      </c>
      <c r="C6" s="7" t="s">
        <v>16</v>
      </c>
      <c r="D6" s="8" t="s">
        <v>17</v>
      </c>
      <c r="E6" s="9"/>
      <c r="F6" s="8"/>
      <c r="G6" s="9" t="s">
        <v>18</v>
      </c>
      <c r="H6" s="10"/>
      <c r="I6" s="10">
        <v>25.18</v>
      </c>
      <c r="J6" s="11"/>
      <c r="K6" s="11"/>
      <c r="L6" s="11">
        <f t="shared" ref="L6:L24" si="1">N(H6)+N(I6)+N(J6)+N(K6)</f>
        <v>25.18</v>
      </c>
      <c r="M6" s="9" t="s">
        <v>19</v>
      </c>
    </row>
    <row r="7">
      <c r="A7" s="5">
        <v>46169.0</v>
      </c>
      <c r="B7" s="6">
        <v>46148.0</v>
      </c>
      <c r="C7" s="7" t="s">
        <v>20</v>
      </c>
      <c r="D7" s="8" t="s">
        <v>21</v>
      </c>
      <c r="E7" s="9"/>
      <c r="F7" s="8" t="s">
        <v>22</v>
      </c>
      <c r="G7" s="9" t="s">
        <v>18</v>
      </c>
      <c r="H7" s="10">
        <v>845.07</v>
      </c>
      <c r="I7" s="11"/>
      <c r="J7" s="11"/>
      <c r="K7" s="11"/>
      <c r="L7" s="11">
        <f t="shared" si="1"/>
        <v>845.07</v>
      </c>
      <c r="M7" s="9" t="s">
        <v>19</v>
      </c>
    </row>
    <row r="8">
      <c r="A8" s="12">
        <v>46169.0</v>
      </c>
      <c r="B8" s="7" t="s">
        <v>23</v>
      </c>
      <c r="C8" s="7" t="s">
        <v>16</v>
      </c>
      <c r="D8" s="9" t="s">
        <v>24</v>
      </c>
      <c r="E8" s="9" t="s">
        <v>25</v>
      </c>
      <c r="F8" s="9" t="s">
        <v>26</v>
      </c>
      <c r="G8" s="9" t="s">
        <v>18</v>
      </c>
      <c r="H8" s="11"/>
      <c r="I8" s="11">
        <v>1500.0</v>
      </c>
      <c r="J8" s="11">
        <v>75.0</v>
      </c>
      <c r="K8" s="11">
        <v>149.63</v>
      </c>
      <c r="L8" s="11">
        <f t="shared" si="1"/>
        <v>1724.63</v>
      </c>
      <c r="M8" s="9" t="s">
        <v>19</v>
      </c>
    </row>
    <row r="9">
      <c r="A9" s="12">
        <v>46169.0</v>
      </c>
      <c r="B9" s="7" t="s">
        <v>27</v>
      </c>
      <c r="C9" s="7" t="s">
        <v>16</v>
      </c>
      <c r="D9" s="9" t="s">
        <v>28</v>
      </c>
      <c r="E9" s="9" t="s">
        <v>25</v>
      </c>
      <c r="F9" s="9" t="s">
        <v>29</v>
      </c>
      <c r="G9" s="9" t="s">
        <v>18</v>
      </c>
      <c r="H9" s="11"/>
      <c r="I9" s="11">
        <v>735.0</v>
      </c>
      <c r="J9" s="10">
        <v>0.0</v>
      </c>
      <c r="K9" s="10">
        <v>0.0</v>
      </c>
      <c r="L9" s="11">
        <f t="shared" si="1"/>
        <v>735</v>
      </c>
      <c r="M9" s="9" t="s">
        <v>30</v>
      </c>
    </row>
    <row r="10">
      <c r="A10" s="12">
        <v>46168.0</v>
      </c>
      <c r="B10" s="7" t="s">
        <v>31</v>
      </c>
      <c r="C10" s="7" t="s">
        <v>16</v>
      </c>
      <c r="D10" s="9" t="s">
        <v>32</v>
      </c>
      <c r="E10" s="9" t="s">
        <v>25</v>
      </c>
      <c r="F10" s="9" t="s">
        <v>33</v>
      </c>
      <c r="G10" s="9" t="s">
        <v>18</v>
      </c>
      <c r="H10" s="11"/>
      <c r="I10" s="11">
        <v>3064.0</v>
      </c>
      <c r="J10" s="11">
        <v>153.2</v>
      </c>
      <c r="K10" s="11">
        <v>305.64</v>
      </c>
      <c r="L10" s="11">
        <f t="shared" si="1"/>
        <v>3522.84</v>
      </c>
      <c r="M10" s="9" t="s">
        <v>19</v>
      </c>
    </row>
    <row r="11">
      <c r="A11" s="12">
        <v>46167.0</v>
      </c>
      <c r="B11" s="7" t="s">
        <v>34</v>
      </c>
      <c r="C11" s="7" t="s">
        <v>16</v>
      </c>
      <c r="D11" s="9" t="s">
        <v>35</v>
      </c>
      <c r="E11" s="9" t="s">
        <v>25</v>
      </c>
      <c r="F11" s="9" t="s">
        <v>36</v>
      </c>
      <c r="G11" s="9" t="s">
        <v>18</v>
      </c>
      <c r="H11" s="11"/>
      <c r="I11" s="11">
        <v>500.0</v>
      </c>
      <c r="J11" s="11"/>
      <c r="K11" s="11"/>
      <c r="L11" s="11">
        <f t="shared" si="1"/>
        <v>500</v>
      </c>
      <c r="M11" s="9" t="s">
        <v>30</v>
      </c>
    </row>
    <row r="12">
      <c r="A12" s="12">
        <v>46142.0</v>
      </c>
      <c r="B12" s="7" t="s">
        <v>37</v>
      </c>
      <c r="C12" s="7" t="s">
        <v>16</v>
      </c>
      <c r="D12" s="9" t="s">
        <v>38</v>
      </c>
      <c r="E12" s="9" t="s">
        <v>39</v>
      </c>
      <c r="F12" s="9"/>
      <c r="G12" s="9" t="s">
        <v>18</v>
      </c>
      <c r="H12" s="11"/>
      <c r="I12" s="11">
        <v>7.0</v>
      </c>
      <c r="J12" s="11"/>
      <c r="K12" s="11"/>
      <c r="L12" s="11">
        <f t="shared" si="1"/>
        <v>7</v>
      </c>
      <c r="M12" s="9" t="s">
        <v>40</v>
      </c>
    </row>
    <row r="13">
      <c r="A13" s="12">
        <v>46112.0</v>
      </c>
      <c r="B13" s="7" t="s">
        <v>41</v>
      </c>
      <c r="C13" s="7" t="s">
        <v>16</v>
      </c>
      <c r="D13" s="9" t="s">
        <v>42</v>
      </c>
      <c r="E13" s="9" t="s">
        <v>39</v>
      </c>
      <c r="F13" s="9"/>
      <c r="G13" s="9" t="s">
        <v>18</v>
      </c>
      <c r="H13" s="11"/>
      <c r="I13" s="11">
        <v>7.0</v>
      </c>
      <c r="J13" s="11"/>
      <c r="K13" s="11"/>
      <c r="L13" s="11">
        <f t="shared" si="1"/>
        <v>7</v>
      </c>
      <c r="M13" s="9" t="s">
        <v>19</v>
      </c>
    </row>
    <row r="14">
      <c r="A14" s="12">
        <v>46080.0</v>
      </c>
      <c r="B14" s="7" t="s">
        <v>43</v>
      </c>
      <c r="C14" s="7" t="s">
        <v>16</v>
      </c>
      <c r="D14" s="9" t="s">
        <v>44</v>
      </c>
      <c r="E14" s="9" t="s">
        <v>39</v>
      </c>
      <c r="F14" s="9"/>
      <c r="G14" s="9" t="s">
        <v>18</v>
      </c>
      <c r="H14" s="11"/>
      <c r="I14" s="11">
        <v>7.0</v>
      </c>
      <c r="J14" s="11"/>
      <c r="K14" s="11"/>
      <c r="L14" s="11">
        <f t="shared" si="1"/>
        <v>7</v>
      </c>
      <c r="M14" s="9" t="s">
        <v>40</v>
      </c>
    </row>
    <row r="15">
      <c r="A15" s="12">
        <v>46064.0</v>
      </c>
      <c r="B15" s="7" t="s">
        <v>45</v>
      </c>
      <c r="C15" s="7" t="s">
        <v>16</v>
      </c>
      <c r="D15" s="9" t="s">
        <v>46</v>
      </c>
      <c r="E15" s="9" t="s">
        <v>25</v>
      </c>
      <c r="F15" s="9" t="s">
        <v>47</v>
      </c>
      <c r="G15" s="9" t="s">
        <v>18</v>
      </c>
      <c r="H15" s="11"/>
      <c r="I15" s="11">
        <v>2000.0</v>
      </c>
      <c r="J15" s="11">
        <v>100.0</v>
      </c>
      <c r="K15" s="11">
        <v>199.5</v>
      </c>
      <c r="L15" s="11">
        <f t="shared" si="1"/>
        <v>2299.5</v>
      </c>
      <c r="M15" s="9" t="s">
        <v>19</v>
      </c>
    </row>
    <row r="16">
      <c r="A16" s="12">
        <v>46052.0</v>
      </c>
      <c r="B16" s="7" t="s">
        <v>48</v>
      </c>
      <c r="C16" s="7" t="s">
        <v>16</v>
      </c>
      <c r="D16" s="9" t="s">
        <v>49</v>
      </c>
      <c r="E16" s="9" t="s">
        <v>39</v>
      </c>
      <c r="F16" s="9"/>
      <c r="G16" s="9" t="s">
        <v>18</v>
      </c>
      <c r="H16" s="11"/>
      <c r="I16" s="11">
        <v>7.0</v>
      </c>
      <c r="J16" s="11"/>
      <c r="K16" s="11"/>
      <c r="L16" s="11">
        <f t="shared" si="1"/>
        <v>7</v>
      </c>
      <c r="M16" s="9" t="s">
        <v>40</v>
      </c>
    </row>
    <row r="17">
      <c r="A17" s="12">
        <v>46022.0</v>
      </c>
      <c r="B17" s="7" t="s">
        <v>50</v>
      </c>
      <c r="C17" s="7" t="s">
        <v>16</v>
      </c>
      <c r="D17" s="9" t="s">
        <v>51</v>
      </c>
      <c r="E17" s="9" t="s">
        <v>39</v>
      </c>
      <c r="F17" s="9"/>
      <c r="G17" s="9" t="s">
        <v>18</v>
      </c>
      <c r="H17" s="11"/>
      <c r="I17" s="11">
        <v>7.0</v>
      </c>
      <c r="J17" s="11"/>
      <c r="K17" s="11"/>
      <c r="L17" s="11">
        <f t="shared" si="1"/>
        <v>7</v>
      </c>
      <c r="M17" s="9" t="s">
        <v>40</v>
      </c>
    </row>
    <row r="18">
      <c r="A18" s="12">
        <v>45989.0</v>
      </c>
      <c r="B18" s="7" t="s">
        <v>52</v>
      </c>
      <c r="C18" s="7" t="s">
        <v>16</v>
      </c>
      <c r="D18" s="9" t="s">
        <v>53</v>
      </c>
      <c r="E18" s="9" t="s">
        <v>39</v>
      </c>
      <c r="F18" s="9" t="s">
        <v>54</v>
      </c>
      <c r="G18" s="9" t="s">
        <v>18</v>
      </c>
      <c r="H18" s="11"/>
      <c r="I18" s="11">
        <v>7.0</v>
      </c>
      <c r="J18" s="11"/>
      <c r="K18" s="11"/>
      <c r="L18" s="11">
        <f t="shared" si="1"/>
        <v>7</v>
      </c>
      <c r="M18" s="9" t="s">
        <v>40</v>
      </c>
    </row>
    <row r="19">
      <c r="A19" s="12">
        <v>45981.0</v>
      </c>
      <c r="B19" s="7" t="s">
        <v>55</v>
      </c>
      <c r="C19" s="7" t="s">
        <v>20</v>
      </c>
      <c r="D19" s="9" t="s">
        <v>56</v>
      </c>
      <c r="E19" s="9" t="s">
        <v>57</v>
      </c>
      <c r="F19" s="9" t="s">
        <v>58</v>
      </c>
      <c r="G19" s="9" t="s">
        <v>18</v>
      </c>
      <c r="H19" s="11">
        <v>7919.0</v>
      </c>
      <c r="I19" s="11"/>
      <c r="J19" s="11"/>
      <c r="K19" s="11"/>
      <c r="L19" s="11">
        <f t="shared" si="1"/>
        <v>7919</v>
      </c>
      <c r="M19" s="9" t="s">
        <v>19</v>
      </c>
    </row>
    <row r="20">
      <c r="A20" s="12">
        <v>45961.0</v>
      </c>
      <c r="B20" s="7" t="s">
        <v>59</v>
      </c>
      <c r="C20" s="7" t="s">
        <v>16</v>
      </c>
      <c r="D20" s="9" t="s">
        <v>60</v>
      </c>
      <c r="E20" s="9" t="s">
        <v>39</v>
      </c>
      <c r="F20" s="9"/>
      <c r="G20" s="9" t="s">
        <v>18</v>
      </c>
      <c r="H20" s="11"/>
      <c r="I20" s="10">
        <v>0.03</v>
      </c>
      <c r="J20" s="11"/>
      <c r="K20" s="11"/>
      <c r="L20" s="11">
        <f t="shared" si="1"/>
        <v>0.03</v>
      </c>
      <c r="M20" s="9" t="s">
        <v>40</v>
      </c>
    </row>
    <row r="21">
      <c r="A21" s="5">
        <v>45961.0</v>
      </c>
      <c r="B21" s="6">
        <v>46297.0</v>
      </c>
      <c r="C21" s="7" t="s">
        <v>16</v>
      </c>
      <c r="D21" s="9" t="s">
        <v>53</v>
      </c>
      <c r="E21" s="9" t="s">
        <v>39</v>
      </c>
      <c r="F21" s="9" t="s">
        <v>54</v>
      </c>
      <c r="G21" s="9" t="s">
        <v>18</v>
      </c>
      <c r="H21" s="11"/>
      <c r="I21" s="11">
        <v>7.0</v>
      </c>
      <c r="J21" s="11"/>
      <c r="K21" s="11"/>
      <c r="L21" s="11">
        <f t="shared" si="1"/>
        <v>7</v>
      </c>
      <c r="M21" s="9" t="s">
        <v>40</v>
      </c>
    </row>
    <row r="22">
      <c r="A22" s="5">
        <v>45940.0</v>
      </c>
      <c r="B22" s="6">
        <v>46296.0</v>
      </c>
      <c r="C22" s="7" t="s">
        <v>20</v>
      </c>
      <c r="D22" s="8" t="s">
        <v>61</v>
      </c>
      <c r="E22" s="9" t="s">
        <v>57</v>
      </c>
      <c r="F22" s="8" t="s">
        <v>22</v>
      </c>
      <c r="G22" s="9" t="s">
        <v>18</v>
      </c>
      <c r="H22" s="10">
        <v>20.0</v>
      </c>
      <c r="I22" s="11"/>
      <c r="J22" s="11"/>
      <c r="K22" s="11"/>
      <c r="L22" s="11">
        <f t="shared" si="1"/>
        <v>20</v>
      </c>
      <c r="M22" s="9" t="s">
        <v>19</v>
      </c>
    </row>
    <row r="23">
      <c r="A23" s="12">
        <v>45929.0</v>
      </c>
      <c r="B23" s="7" t="s">
        <v>62</v>
      </c>
      <c r="C23" s="7" t="s">
        <v>16</v>
      </c>
      <c r="D23" s="9" t="s">
        <v>63</v>
      </c>
      <c r="E23" s="9" t="s">
        <v>39</v>
      </c>
      <c r="F23" s="9"/>
      <c r="G23" s="9" t="s">
        <v>18</v>
      </c>
      <c r="H23" s="11"/>
      <c r="I23" s="10">
        <v>0.01</v>
      </c>
      <c r="J23" s="11"/>
      <c r="K23" s="11"/>
      <c r="L23" s="11">
        <f t="shared" si="1"/>
        <v>0.01</v>
      </c>
      <c r="M23" s="9" t="s">
        <v>40</v>
      </c>
    </row>
    <row r="24">
      <c r="A24" s="12">
        <v>45929.0</v>
      </c>
      <c r="B24" s="6">
        <v>46266.0</v>
      </c>
      <c r="C24" s="7" t="s">
        <v>16</v>
      </c>
      <c r="D24" s="8" t="s">
        <v>64</v>
      </c>
      <c r="E24" s="9" t="s">
        <v>39</v>
      </c>
      <c r="F24" s="9"/>
      <c r="G24" s="9" t="s">
        <v>18</v>
      </c>
      <c r="H24" s="11"/>
      <c r="I24" s="10">
        <v>6.07</v>
      </c>
      <c r="J24" s="11"/>
      <c r="K24" s="11"/>
      <c r="L24" s="11">
        <f t="shared" si="1"/>
        <v>6.07</v>
      </c>
      <c r="M24" s="9" t="s">
        <v>40</v>
      </c>
    </row>
    <row r="26" ht="15.75" customHeight="1">
      <c r="A26" s="13" t="s">
        <v>65</v>
      </c>
      <c r="B26" s="14"/>
      <c r="C26" s="14"/>
      <c r="D26" s="14"/>
      <c r="E26" s="14"/>
      <c r="F26" s="14"/>
      <c r="G26" s="15"/>
      <c r="H26" s="16"/>
      <c r="I26" s="16">
        <f>SUMIF(C6:C24,"dépense",I6:I24)</f>
        <v>7879.29</v>
      </c>
      <c r="J26" s="16">
        <f>SUMIFS(J8:J24,C8:C24,"dépense")</f>
        <v>328.2</v>
      </c>
      <c r="K26" s="16">
        <f>SUMIFS(K8:K24,C8:C24,"dépense")</f>
        <v>654.77</v>
      </c>
      <c r="L26" s="16">
        <f>SUMIFS(L6:L24,C6:C24,"dépense")</f>
        <v>8862.26</v>
      </c>
      <c r="M26" s="17"/>
    </row>
    <row r="27" ht="15.75" customHeight="1">
      <c r="A27" s="18" t="s">
        <v>66</v>
      </c>
      <c r="B27" s="14"/>
      <c r="C27" s="14"/>
      <c r="D27" s="14"/>
      <c r="E27" s="14"/>
      <c r="F27" s="14"/>
      <c r="G27" s="15"/>
      <c r="H27" s="16">
        <f>SUMIFS(H6:H24,C6:C24,"revenu")</f>
        <v>8784.07</v>
      </c>
      <c r="I27" s="16"/>
      <c r="J27" s="16">
        <f>SUMIFS(J8:J24,C8:C24,"revenu")</f>
        <v>0</v>
      </c>
      <c r="K27" s="16">
        <f>SUMIFS(K8:K24,C8:C24,"revenu")</f>
        <v>0</v>
      </c>
      <c r="L27" s="16">
        <f>SUMIFS(L8:L24,C8:C24,"revenu")</f>
        <v>7939</v>
      </c>
      <c r="M27" s="17"/>
    </row>
    <row r="28" ht="15.75" customHeight="1"/>
    <row r="29" ht="21.75" customHeight="1">
      <c r="A29" s="19" t="s">
        <v>67</v>
      </c>
      <c r="B29" s="14"/>
      <c r="C29" s="14"/>
      <c r="D29" s="14"/>
      <c r="E29" s="14"/>
      <c r="F29" s="14"/>
      <c r="G29" s="20"/>
      <c r="H29" s="21">
        <f>H27-I26</f>
        <v>904.78</v>
      </c>
      <c r="I29" s="22"/>
      <c r="J29" s="22"/>
      <c r="K29" s="22"/>
      <c r="L29" s="21">
        <f>L27-L26</f>
        <v>-923.26</v>
      </c>
      <c r="M29" s="2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A$5:$M$24"/>
  <mergeCells count="6">
    <mergeCell ref="A1:M1"/>
    <mergeCell ref="A2:M2"/>
    <mergeCell ref="A3:M3"/>
    <mergeCell ref="A26:G26"/>
    <mergeCell ref="A27:G27"/>
    <mergeCell ref="A29:G29"/>
  </mergeCells>
  <conditionalFormatting sqref="A6:M24">
    <cfRule type="expression" dxfId="0" priority="1">
      <formula>$C6="revenu"</formula>
    </cfRule>
  </conditionalFormatting>
  <conditionalFormatting sqref="A6:M24">
    <cfRule type="expression" dxfId="1" priority="2">
      <formula>$C6="dépense"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6.0"/>
    <col customWidth="1" min="3" max="3" width="18.0"/>
    <col customWidth="1" min="4" max="4" width="38.0"/>
    <col customWidth="1" min="5" max="26" width="8.71"/>
  </cols>
  <sheetData>
    <row r="1" ht="24.0" customHeight="1">
      <c r="A1" s="1" t="s">
        <v>68</v>
      </c>
    </row>
    <row r="2">
      <c r="A2" s="2" t="s">
        <v>69</v>
      </c>
    </row>
    <row r="4" ht="19.5" customHeight="1">
      <c r="B4" s="23" t="s">
        <v>70</v>
      </c>
      <c r="C4" s="24"/>
      <c r="D4" s="25"/>
    </row>
    <row r="5">
      <c r="B5" s="26" t="s">
        <v>71</v>
      </c>
      <c r="C5" s="27">
        <f>Transactions!H27</f>
        <v>8784.07</v>
      </c>
      <c r="D5" s="28" t="s">
        <v>72</v>
      </c>
    </row>
    <row r="6">
      <c r="B6" s="26" t="s">
        <v>73</v>
      </c>
      <c r="C6" s="27">
        <f>Transactions!I26</f>
        <v>7879.29</v>
      </c>
      <c r="D6" s="28" t="s">
        <v>74</v>
      </c>
    </row>
    <row r="7">
      <c r="B7" s="29" t="s">
        <v>75</v>
      </c>
      <c r="C7" s="30">
        <f>Transactions!H27-Transactions!I26</f>
        <v>904.78</v>
      </c>
      <c r="D7" s="28" t="s">
        <v>76</v>
      </c>
    </row>
    <row r="9" ht="19.5" customHeight="1">
      <c r="B9" s="23" t="s">
        <v>77</v>
      </c>
      <c r="C9" s="24"/>
      <c r="D9" s="25"/>
    </row>
    <row r="10">
      <c r="B10" s="26" t="s">
        <v>78</v>
      </c>
      <c r="C10" s="27">
        <f>Transactions!J26</f>
        <v>328.2</v>
      </c>
      <c r="D10" s="28" t="s">
        <v>79</v>
      </c>
    </row>
    <row r="11">
      <c r="B11" s="26" t="s">
        <v>80</v>
      </c>
      <c r="C11" s="27">
        <f>Transactions!K26</f>
        <v>654.77</v>
      </c>
      <c r="D11" s="28" t="s">
        <v>81</v>
      </c>
    </row>
    <row r="12">
      <c r="B12" s="29" t="s">
        <v>82</v>
      </c>
      <c r="C12" s="31">
        <f>Transactions!J26+Transactions!K26</f>
        <v>982.97</v>
      </c>
      <c r="D12" s="28"/>
    </row>
    <row r="14" ht="19.5" customHeight="1">
      <c r="B14" s="23" t="s">
        <v>83</v>
      </c>
      <c r="C14" s="24"/>
      <c r="D14" s="25"/>
    </row>
    <row r="15">
      <c r="B15" s="26" t="s">
        <v>84</v>
      </c>
      <c r="C15" s="27">
        <f>Transactions!J27</f>
        <v>0</v>
      </c>
      <c r="D15" s="28" t="s">
        <v>85</v>
      </c>
    </row>
    <row r="16">
      <c r="B16" s="26" t="s">
        <v>86</v>
      </c>
      <c r="C16" s="27">
        <f>Transactions!K27</f>
        <v>0</v>
      </c>
      <c r="D16" s="28" t="s">
        <v>87</v>
      </c>
    </row>
    <row r="18" ht="19.5" customHeight="1">
      <c r="B18" s="32" t="s">
        <v>88</v>
      </c>
      <c r="C18" s="24"/>
      <c r="D18" s="25"/>
    </row>
    <row r="19">
      <c r="B19" s="29" t="s">
        <v>89</v>
      </c>
      <c r="C19" s="31">
        <f>Transactions!J27-Transactions!J26</f>
        <v>-328.2</v>
      </c>
      <c r="D19" s="28" t="s">
        <v>90</v>
      </c>
    </row>
    <row r="20">
      <c r="B20" s="29" t="s">
        <v>91</v>
      </c>
      <c r="C20" s="31">
        <f>Transactions!K27-Transactions!K26</f>
        <v>-654.77</v>
      </c>
      <c r="D20" s="28" t="s">
        <v>92</v>
      </c>
    </row>
    <row r="21" ht="15.75" customHeight="1"/>
    <row r="22" ht="19.5" customHeight="1">
      <c r="B22" s="32" t="s">
        <v>93</v>
      </c>
      <c r="C22" s="24"/>
      <c r="D22" s="25"/>
    </row>
    <row r="23" ht="15.75" customHeight="1">
      <c r="B23" s="26" t="s">
        <v>94</v>
      </c>
      <c r="C23" s="27">
        <f>Transactions!L27</f>
        <v>7939</v>
      </c>
      <c r="D23" s="28"/>
    </row>
    <row r="24" ht="15.75" customHeight="1">
      <c r="B24" s="26" t="s">
        <v>95</v>
      </c>
      <c r="C24" s="27">
        <f>Transactions!L26</f>
        <v>8862.26</v>
      </c>
      <c r="D24" s="28"/>
    </row>
    <row r="25" ht="15.75" customHeight="1">
      <c r="B25" s="29" t="s">
        <v>96</v>
      </c>
      <c r="C25" s="30">
        <f>Transactions!L27-Transactions!L26</f>
        <v>-923.26</v>
      </c>
      <c r="D25" s="28"/>
    </row>
    <row r="26" ht="15.75" customHeight="1"/>
    <row r="27" ht="15.75" customHeight="1"/>
    <row r="28" ht="30.0" customHeight="1">
      <c r="B28" s="33" t="s">
        <v>97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A2:D2"/>
    <mergeCell ref="B4:D4"/>
    <mergeCell ref="B9:D9"/>
    <mergeCell ref="B14:D14"/>
    <mergeCell ref="B18:D18"/>
    <mergeCell ref="B22:D22"/>
    <mergeCell ref="B28:D2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12.0"/>
    <col customWidth="1" min="3" max="3" width="16.0"/>
    <col customWidth="1" min="4" max="5" width="14.0"/>
    <col customWidth="1" min="6" max="6" width="16.0"/>
    <col customWidth="1" min="7" max="26" width="8.71"/>
  </cols>
  <sheetData>
    <row r="1" ht="24.0" customHeight="1">
      <c r="A1" s="1" t="s">
        <v>98</v>
      </c>
    </row>
    <row r="2">
      <c r="A2" s="2" t="s">
        <v>99</v>
      </c>
    </row>
    <row r="4" ht="31.5" customHeight="1">
      <c r="A4" s="4" t="s">
        <v>7</v>
      </c>
      <c r="B4" s="4" t="s">
        <v>5</v>
      </c>
      <c r="C4" s="4" t="s">
        <v>100</v>
      </c>
      <c r="D4" s="4" t="s">
        <v>101</v>
      </c>
      <c r="E4" s="4" t="s">
        <v>102</v>
      </c>
      <c r="F4" s="4" t="s">
        <v>14</v>
      </c>
    </row>
    <row r="5">
      <c r="A5" s="34" t="s">
        <v>39</v>
      </c>
      <c r="B5" s="34" t="s">
        <v>16</v>
      </c>
      <c r="C5" s="35">
        <f>SUMIFS(Transactions!I8:I24,Transactions!E8:E24,A5,Transactions!C8:C24,"dépense")</f>
        <v>55.11</v>
      </c>
      <c r="D5" s="35">
        <f>SUMIFS(Transactions!J8:J24,Transactions!E8:E24,A5,Transactions!C8:C24,"dépense")</f>
        <v>0</v>
      </c>
      <c r="E5" s="35">
        <f>SUMIFS(Transactions!K8:K24,Transactions!E8:E24,A5,Transactions!C8:C24,"dépense")</f>
        <v>0</v>
      </c>
      <c r="F5" s="35">
        <f t="shared" ref="F5:F7" si="1">C5+D5+E5</f>
        <v>55.11</v>
      </c>
    </row>
    <row r="6">
      <c r="A6" s="34" t="s">
        <v>25</v>
      </c>
      <c r="B6" s="34" t="s">
        <v>16</v>
      </c>
      <c r="C6" s="35">
        <f>SUMIFS(Transactions!I8:I24,Transactions!E8:E24,A6,Transactions!C8:C24,"dépense")</f>
        <v>7799</v>
      </c>
      <c r="D6" s="35">
        <f>SUMIFS(Transactions!J8:J24,Transactions!E8:E24,A6,Transactions!C8:C24,"dépense")</f>
        <v>328.2</v>
      </c>
      <c r="E6" s="35">
        <f>SUMIFS(Transactions!K8:K24,Transactions!E8:E24,A6,Transactions!C8:C24,"dépense")</f>
        <v>654.77</v>
      </c>
      <c r="F6" s="35">
        <f t="shared" si="1"/>
        <v>8781.97</v>
      </c>
    </row>
    <row r="7">
      <c r="A7" s="36" t="s">
        <v>57</v>
      </c>
      <c r="B7" s="36" t="s">
        <v>20</v>
      </c>
      <c r="C7" s="37">
        <f>SUMIFS(Transactions!H8:H24,Transactions!E8:E24,A7,Transactions!C8:C24,"revenu")</f>
        <v>7939</v>
      </c>
      <c r="D7" s="37">
        <f>SUMIFS(Transactions!J8:J24,Transactions!E8:E24,A7,Transactions!C8:C24,"revenu")</f>
        <v>0</v>
      </c>
      <c r="E7" s="37">
        <f>SUMIFS(Transactions!K8:K24,Transactions!E8:E24,A7,Transactions!C8:C24,"revenu")</f>
        <v>0</v>
      </c>
      <c r="F7" s="37">
        <f t="shared" si="1"/>
        <v>7939</v>
      </c>
    </row>
    <row r="9">
      <c r="A9" s="38" t="s">
        <v>103</v>
      </c>
      <c r="B9" s="17"/>
      <c r="C9" s="16">
        <f t="shared" ref="C9:F9" si="2">SUM(C5:C7)</f>
        <v>15793.11</v>
      </c>
      <c r="D9" s="16">
        <f t="shared" si="2"/>
        <v>328.2</v>
      </c>
      <c r="E9" s="16">
        <f t="shared" si="2"/>
        <v>654.77</v>
      </c>
      <c r="F9" s="16">
        <f t="shared" si="2"/>
        <v>16776.08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